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embers" sheetId="2" state="visible" r:id="rId4"/>
    <sheet name="Transactions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<sst xmlns="http://schemas.openxmlformats.org/spreadsheetml/2006/main" count="54" uniqueCount="47">
  <si>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MOROCCO 2027 - TRIP PAYMENT TRACKER</t>
  </si>
  <si>
    <t xml:space="preserve">As of: 31 March 2026</t>
  </si>
  <si>
    <t xml:space="preserve">TOTAL COLLECTED</t>
  </si>
  <si>
    <t xml:space="preserve">MEMBERS</t>
  </si>
  <si>
    <t xml:space="preserve">TARGET BUDGET</t>
  </si>
  <si>
    <t xml:space="preserve">PROGRESS</t>
  </si>
  <si>
    <t xml:space="preserve">ID</t>
  </si>
  <si>
    <t xml:space="preserve">Full Name</t>
  </si>
  <si>
    <t xml:space="preserve">Amount Paid</t>
  </si>
  <si>
    <t xml:space="preserve">Target</t>
  </si>
  <si>
    <t xml:space="preserve">Remaining</t>
  </si>
  <si>
    <t xml:space="preserve">% Paid</t>
  </si>
  <si>
    <t xml:space="preserve">Andreas Emmanuel Gloor</t>
  </si>
  <si>
    <t xml:space="preserve">Andrew knight</t>
  </si>
  <si>
    <t xml:space="preserve">Andrew Lewis</t>
  </si>
  <si>
    <t xml:space="preserve">Campbell Stafford harris</t>
  </si>
  <si>
    <t xml:space="preserve">Christian Stefan Doyle</t>
  </si>
  <si>
    <t xml:space="preserve">Daniel Mark Morgan</t>
  </si>
  <si>
    <t xml:space="preserve">Hamish Richard Gordon</t>
  </si>
  <si>
    <t xml:space="preserve">Jonathon Brauer</t>
  </si>
  <si>
    <t xml:space="preserve">Kristian Hugh Spencer</t>
  </si>
  <si>
    <t xml:space="preserve">Matthew James Hampton</t>
  </si>
  <si>
    <t xml:space="preserve">Reid Ballingall</t>
  </si>
  <si>
    <t xml:space="preserve">Robert Wentworth Norman</t>
  </si>
  <si>
    <t xml:space="preserve">Simon Gallagher</t>
  </si>
  <si>
    <t xml:space="preserve">Simon Lewis Dakin</t>
  </si>
  <si>
    <t xml:space="preserve">Thomas Kowalczuk</t>
  </si>
  <si>
    <t xml:space="preserve">Travis Tierney</t>
  </si>
  <si>
    <t xml:space="preserve">Will David Clifford</t>
  </si>
  <si>
    <t xml:space="preserve">Date</t>
  </si>
  <si>
    <t xml:space="preserve">Member</t>
  </si>
  <si>
    <t xml:space="preserve">Amount</t>
  </si>
  <si>
    <t xml:space="preserve">Type</t>
  </si>
  <si>
    <t xml:space="preserve">Notes</t>
  </si>
  <si>
    <t xml:space="preserve">Bank Transfer</t>
  </si>
  <si>
    <t xml:space="preserve">HOW TO USE THIS TRACKER</t>
  </si>
  <si>
    <t xml:space="preserve">1. MEMBERS SHEET</t>
  </si>
  <si>
    <t xml:space="preserve">This is auto-populated with all trip members. Amount Paid is calculated from the Transactions sheet. Do not edit this directly.</t>
  </si>
  <si>
    <t xml:space="preserve">2. TRANSACTIONS SHEET</t>
  </si>
  <si>
    <t xml:space="preserve">Add new transactions here monthly. Columns: Date, Member name, Amount, Type (Bank Transfer / PayPal / Check), Notes</t>
  </si>
  <si>
    <t xml:space="preserve">3. SUMMARY SHEET</t>
  </si>
  <si>
    <t xml:space="preserve">Shows real-time totals. All numbers update automatically when you add transactions.</t>
  </si>
  <si>
    <t xml:space="preserve">MONTHLY WORKFLOW:</t>
  </si>
  <si>
    <t xml:space="preserve">• Open this file</t>
  </si>
  <si>
    <t xml:space="preserve">• Add all payments from the past month to the Transactions sheet</t>
  </si>
  <si>
    <t xml:space="preserve">• Save and upload to the Admin Portal</t>
  </si>
  <si>
    <t xml:space="preserve">• System will archive the old version and create a backup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</si>
</sst>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B6F4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8B6F47"/>
      <name val="Arial"/>
      <family val="0"/>
      <charset val="1"/>
    </font>
    <font>
      <sz val="11"/>
      <color rgb="FFFFFFFF"/>
      <name val="Arial"/>
      <family val="0"/>
      <charset val="1"/>
    </font>
    <font>
      <sz val="10"/>
      <color rgb="FFCCCCCC"/>
      <name val="Arial"/>
      <family val="0"/>
      <charset val="1"/>
    </font>
    <font>
      <b val="true"/>
      <sz val="11"/>
      <color rgb="FF8B6F4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1B14"/>
        <bgColor rgb="FF3D2B24"/>
      </patternFill>
    </fill>
    <fill>
      <patternFill patternType="solid">
        <fgColor rgb="FF8B6F47"/>
        <bgColor rgb="FF666666"/>
      </patternFill>
    </fill>
    <fill>
      <patternFill patternType="solid">
        <fgColor rgb="FF3D2B24"/>
        <bgColor rgb="FF2D1B1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B6F47"/>
      </left>
      <right style="thin">
        <color rgb="FF8B6F47"/>
      </right>
      <top style="thin">
        <color rgb="FF8B6F47"/>
      </top>
      <bottom style="thin">
        <color rgb="FF8B6F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6F4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2D1B14"/>
      <rgbColor rgb="FF993300"/>
      <rgbColor rgb="FF993366"/>
      <rgbColor rgb="FF333399"/>
      <rgbColor rgb="FF3D2B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5"/>
  </cols>
  <sheetData>
    <row r="1" customFormat="false" ht="24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7.35" hidden="false" customHeight="false" outlineLevel="0" collapsed="false">
      <c r="A5" s="4" t="n">
        <f aca="false">SUMIF(Members!C:C,"&gt;0",Members!C:C)</f>
        <v>1600</v>
      </c>
      <c r="B5" s="5" t="n">
        <f aca="false">COUNTA(Members!B2:B18)</f>
        <v>17</v>
      </c>
      <c r="C5" s="4" t="n">
        <v>5000</v>
      </c>
      <c r="D5" s="6" t="n">
        <f aca="false">A5/C5</f>
        <v>0.32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24.75" hidden="false" customHeight="true" outlineLevel="0" collapsed="false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</row>
    <row r="2" customFormat="false" ht="15" hidden="false" customHeight="false" outlineLevel="0" collapsed="false">
      <c r="A2" s="8" t="n">
        <v>1</v>
      </c>
      <c r="B2" s="9" t="s">
        <v>12</v>
      </c>
      <c r="C2" s="10" t="n">
        <f aca="false">SUMIF(Transactions!$B:$B,B2,Transactions!$C:$C)</f>
        <v>0</v>
      </c>
      <c r="D2" s="11" t="n">
        <v>5000</v>
      </c>
      <c r="E2" s="10" t="n">
        <f aca="false">D2-C2</f>
        <v>5000</v>
      </c>
      <c r="F2" s="12" t="n">
        <f aca="false">C2/D2</f>
        <v>0</v>
      </c>
    </row>
    <row r="3" customFormat="false" ht="15" hidden="false" customHeight="false" outlineLevel="0" collapsed="false">
      <c r="A3" s="13" t="n">
        <v>2</v>
      </c>
      <c r="B3" s="14" t="s">
        <v>13</v>
      </c>
      <c r="C3" s="15" t="n">
        <f aca="false">SUMIF(Transactions!$B:$B,B3,Transactions!$C:$C)</f>
        <v>100</v>
      </c>
      <c r="D3" s="16" t="n">
        <v>5000</v>
      </c>
      <c r="E3" s="15" t="n">
        <f aca="false">D3-C3</f>
        <v>4900</v>
      </c>
      <c r="F3" s="17" t="n">
        <f aca="false">C3/D3</f>
        <v>0.02</v>
      </c>
    </row>
    <row r="4" customFormat="false" ht="15" hidden="false" customHeight="false" outlineLevel="0" collapsed="false">
      <c r="A4" s="8" t="n">
        <v>3</v>
      </c>
      <c r="B4" s="9" t="s">
        <v>14</v>
      </c>
      <c r="C4" s="10" t="n">
        <f aca="false">SUMIF(Transactions!$B:$B,B4,Transactions!$C:$C)</f>
        <v>0</v>
      </c>
      <c r="D4" s="11" t="n">
        <v>5000</v>
      </c>
      <c r="E4" s="10" t="n">
        <f aca="false">D4-C4</f>
        <v>5000</v>
      </c>
      <c r="F4" s="12" t="n">
        <f aca="false">C4/D4</f>
        <v>0</v>
      </c>
    </row>
    <row r="5" customFormat="false" ht="15" hidden="false" customHeight="false" outlineLevel="0" collapsed="false">
      <c r="A5" s="13" t="n">
        <v>4</v>
      </c>
      <c r="B5" s="14" t="s">
        <v>15</v>
      </c>
      <c r="C5" s="15" t="n">
        <f aca="false">SUMIF(Transactions!$B:$B,B5,Transactions!$C:$C)</f>
        <v>0</v>
      </c>
      <c r="D5" s="16" t="n">
        <v>5000</v>
      </c>
      <c r="E5" s="15" t="n">
        <f aca="false">D5-C5</f>
        <v>5000</v>
      </c>
      <c r="F5" s="17" t="n">
        <f aca="false">C5/D5</f>
        <v>0</v>
      </c>
    </row>
    <row r="6" customFormat="false" ht="15" hidden="false" customHeight="false" outlineLevel="0" collapsed="false">
      <c r="A6" s="8" t="n">
        <v>5</v>
      </c>
      <c r="B6" s="9" t="s">
        <v>16</v>
      </c>
      <c r="C6" s="10" t="n">
        <f aca="false">SUMIF(Transactions!$B:$B,B6,Transactions!$C:$C)</f>
        <v>0</v>
      </c>
      <c r="D6" s="11" t="n">
        <v>5000</v>
      </c>
      <c r="E6" s="10" t="n">
        <f aca="false">D6-C6</f>
        <v>5000</v>
      </c>
      <c r="F6" s="12" t="n">
        <f aca="false">C6/D6</f>
        <v>0</v>
      </c>
    </row>
    <row r="7" customFormat="false" ht="15" hidden="false" customHeight="false" outlineLevel="0" collapsed="false">
      <c r="A7" s="13" t="n">
        <v>6</v>
      </c>
      <c r="B7" s="14" t="s">
        <v>17</v>
      </c>
      <c r="C7" s="15" t="n">
        <f aca="false">SUMIF(Transactions!$B:$B,B7,Transactions!$C:$C)</f>
        <v>500</v>
      </c>
      <c r="D7" s="16" t="n">
        <v>5000</v>
      </c>
      <c r="E7" s="15" t="n">
        <f aca="false">D7-C7</f>
        <v>4500</v>
      </c>
      <c r="F7" s="17" t="n">
        <f aca="false">C7/D7</f>
        <v>0.1</v>
      </c>
    </row>
    <row r="8" customFormat="false" ht="15" hidden="false" customHeight="false" outlineLevel="0" collapsed="false">
      <c r="A8" s="8" t="n">
        <v>7</v>
      </c>
      <c r="B8" s="9" t="s">
        <v>18</v>
      </c>
      <c r="C8" s="10" t="n">
        <f aca="false">SUMIF(Transactions!$B:$B,B8,Transactions!$C:$C)</f>
        <v>0</v>
      </c>
      <c r="D8" s="11" t="n">
        <v>5000</v>
      </c>
      <c r="E8" s="10" t="n">
        <f aca="false">D8-C8</f>
        <v>5000</v>
      </c>
      <c r="F8" s="12" t="n">
        <f aca="false">C8/D8</f>
        <v>0</v>
      </c>
    </row>
    <row r="9" customFormat="false" ht="15" hidden="false" customHeight="false" outlineLevel="0" collapsed="false">
      <c r="A9" s="13" t="n">
        <v>8</v>
      </c>
      <c r="B9" s="14" t="s">
        <v>19</v>
      </c>
      <c r="C9" s="15" t="n">
        <f aca="false">SUMIF(Transactions!$B:$B,B9,Transactions!$C:$C)</f>
        <v>0</v>
      </c>
      <c r="D9" s="16" t="n">
        <v>5000</v>
      </c>
      <c r="E9" s="15" t="n">
        <f aca="false">D9-C9</f>
        <v>5000</v>
      </c>
      <c r="F9" s="17" t="n">
        <f aca="false">C9/D9</f>
        <v>0</v>
      </c>
    </row>
    <row r="10" customFormat="false" ht="15" hidden="false" customHeight="false" outlineLevel="0" collapsed="false">
      <c r="A10" s="8" t="n">
        <v>9</v>
      </c>
      <c r="B10" s="9" t="s">
        <v>20</v>
      </c>
      <c r="C10" s="10" t="n">
        <f aca="false">SUMIF(Transactions!$B:$B,B10,Transactions!$C:$C)</f>
        <v>500</v>
      </c>
      <c r="D10" s="11" t="n">
        <v>5000</v>
      </c>
      <c r="E10" s="10" t="n">
        <f aca="false">D10-C10</f>
        <v>4500</v>
      </c>
      <c r="F10" s="12" t="n">
        <f aca="false">C10/D10</f>
        <v>0.1</v>
      </c>
    </row>
    <row r="11" customFormat="false" ht="15" hidden="false" customHeight="false" outlineLevel="0" collapsed="false">
      <c r="A11" s="13" t="n">
        <v>10</v>
      </c>
      <c r="B11" s="14" t="s">
        <v>21</v>
      </c>
      <c r="C11" s="15" t="n">
        <f aca="false">SUMIF(Transactions!$B:$B,B11,Transactions!$C:$C)</f>
        <v>0</v>
      </c>
      <c r="D11" s="16" t="n">
        <v>5000</v>
      </c>
      <c r="E11" s="15" t="n">
        <f aca="false">D11-C11</f>
        <v>5000</v>
      </c>
      <c r="F11" s="17" t="n">
        <f aca="false">C11/D11</f>
        <v>0</v>
      </c>
    </row>
    <row r="12" customFormat="false" ht="15" hidden="false" customHeight="false" outlineLevel="0" collapsed="false">
      <c r="A12" s="8" t="n">
        <v>11</v>
      </c>
      <c r="B12" s="9" t="s">
        <v>22</v>
      </c>
      <c r="C12" s="10" t="n">
        <f aca="false">SUMIF(Transactions!$B:$B,B12,Transactions!$C:$C)</f>
        <v>0</v>
      </c>
      <c r="D12" s="11" t="n">
        <v>5000</v>
      </c>
      <c r="E12" s="10" t="n">
        <f aca="false">D12-C12</f>
        <v>5000</v>
      </c>
      <c r="F12" s="12" t="n">
        <f aca="false">C12/D12</f>
        <v>0</v>
      </c>
    </row>
    <row r="13" customFormat="false" ht="15" hidden="false" customHeight="false" outlineLevel="0" collapsed="false">
      <c r="A13" s="13" t="n">
        <v>12</v>
      </c>
      <c r="B13" s="14" t="s">
        <v>23</v>
      </c>
      <c r="C13" s="15" t="n">
        <f aca="false">SUMIF(Transactions!$B:$B,B13,Transactions!$C:$C)</f>
        <v>500</v>
      </c>
      <c r="D13" s="16" t="n">
        <v>5000</v>
      </c>
      <c r="E13" s="15" t="n">
        <f aca="false">D13-C13</f>
        <v>4500</v>
      </c>
      <c r="F13" s="17" t="n">
        <f aca="false">C13/D13</f>
        <v>0.1</v>
      </c>
    </row>
    <row r="14" customFormat="false" ht="15" hidden="false" customHeight="false" outlineLevel="0" collapsed="false">
      <c r="A14" s="8" t="n">
        <v>13</v>
      </c>
      <c r="B14" s="9" t="s">
        <v>24</v>
      </c>
      <c r="C14" s="10" t="n">
        <f aca="false">SUMIF(Transactions!$B:$B,B14,Transactions!$C:$C)</f>
        <v>0</v>
      </c>
      <c r="D14" s="11" t="n">
        <v>5000</v>
      </c>
      <c r="E14" s="10" t="n">
        <f aca="false">D14-C14</f>
        <v>5000</v>
      </c>
      <c r="F14" s="12" t="n">
        <f aca="false">C14/D14</f>
        <v>0</v>
      </c>
    </row>
    <row r="15" customFormat="false" ht="15" hidden="false" customHeight="false" outlineLevel="0" collapsed="false">
      <c r="A15" s="13" t="n">
        <v>14</v>
      </c>
      <c r="B15" s="14" t="s">
        <v>25</v>
      </c>
      <c r="C15" s="15" t="n">
        <f aca="false">SUMIF(Transactions!$B:$B,B15,Transactions!$C:$C)</f>
        <v>0</v>
      </c>
      <c r="D15" s="16" t="n">
        <v>5000</v>
      </c>
      <c r="E15" s="15" t="n">
        <f aca="false">D15-C15</f>
        <v>5000</v>
      </c>
      <c r="F15" s="17" t="n">
        <f aca="false">C15/D15</f>
        <v>0</v>
      </c>
    </row>
    <row r="16" customFormat="false" ht="15" hidden="false" customHeight="false" outlineLevel="0" collapsed="false">
      <c r="A16" s="8" t="n">
        <v>15</v>
      </c>
      <c r="B16" s="9" t="s">
        <v>26</v>
      </c>
      <c r="C16" s="10" t="n">
        <f aca="false">SUMIF(Transactions!$B:$B,B16,Transactions!$C:$C)</f>
        <v>0</v>
      </c>
      <c r="D16" s="11" t="n">
        <v>5000</v>
      </c>
      <c r="E16" s="10" t="n">
        <f aca="false">D16-C16</f>
        <v>5000</v>
      </c>
      <c r="F16" s="12" t="n">
        <f aca="false">C16/D16</f>
        <v>0</v>
      </c>
    </row>
    <row r="17" customFormat="false" ht="15" hidden="false" customHeight="false" outlineLevel="0" collapsed="false">
      <c r="A17" s="13" t="n">
        <v>16</v>
      </c>
      <c r="B17" s="14" t="s">
        <v>27</v>
      </c>
      <c r="C17" s="15" t="n">
        <f aca="false">SUMIF(Transactions!$B:$B,B17,Transactions!$C:$C)</f>
        <v>0</v>
      </c>
      <c r="D17" s="16" t="n">
        <v>5000</v>
      </c>
      <c r="E17" s="15" t="n">
        <f aca="false">D17-C17</f>
        <v>5000</v>
      </c>
      <c r="F17" s="17" t="n">
        <f aca="false">C17/D17</f>
        <v>0</v>
      </c>
    </row>
    <row r="18" customFormat="false" ht="15" hidden="false" customHeight="false" outlineLevel="0" collapsed="false">
      <c r="A18" s="8" t="n">
        <v>17</v>
      </c>
      <c r="B18" s="9" t="s">
        <v>28</v>
      </c>
      <c r="C18" s="10" t="n">
        <f aca="false">SUMIF(Transactions!$B:$B,B18,Transactions!$C:$C)</f>
        <v>0</v>
      </c>
      <c r="D18" s="11" t="n">
        <v>5000</v>
      </c>
      <c r="E18" s="10" t="n">
        <f aca="false">D18-C18</f>
        <v>5000</v>
      </c>
      <c r="F18" s="12" t="n">
        <f aca="false">C18/D18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25"/>
  </cols>
  <sheetData>
    <row r="1" customFormat="false" ht="24.75" hidden="false" customHeight="true" outlineLevel="0" collapsed="false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</row>
    <row r="2" customFormat="false" ht="15" hidden="false" customHeight="false" outlineLevel="0" collapsed="false">
      <c r="A2" s="18" t="n">
        <v>45865</v>
      </c>
      <c r="B2" s="14" t="s">
        <v>23</v>
      </c>
      <c r="C2" s="15" t="n">
        <v>500</v>
      </c>
      <c r="D2" s="14" t="s">
        <v>34</v>
      </c>
      <c r="E2" s="14"/>
    </row>
    <row r="3" customFormat="false" ht="15" hidden="false" customHeight="false" outlineLevel="0" collapsed="false">
      <c r="A3" s="19" t="n">
        <v>45865</v>
      </c>
      <c r="B3" s="9" t="s">
        <v>17</v>
      </c>
      <c r="C3" s="10" t="n">
        <v>500</v>
      </c>
      <c r="D3" s="9" t="s">
        <v>34</v>
      </c>
      <c r="E3" s="9"/>
    </row>
    <row r="4" customFormat="false" ht="15" hidden="false" customHeight="false" outlineLevel="0" collapsed="false">
      <c r="A4" s="18" t="n">
        <v>45865</v>
      </c>
      <c r="B4" s="14" t="s">
        <v>20</v>
      </c>
      <c r="C4" s="15" t="n">
        <v>500</v>
      </c>
      <c r="D4" s="14" t="s">
        <v>34</v>
      </c>
      <c r="E4" s="14"/>
    </row>
    <row r="5" customFormat="false" ht="15" hidden="false" customHeight="false" outlineLevel="0" collapsed="false">
      <c r="A5" s="19" t="n">
        <v>46112</v>
      </c>
      <c r="B5" s="9" t="s">
        <v>13</v>
      </c>
      <c r="C5" s="10" t="n">
        <v>100</v>
      </c>
      <c r="D5" s="9" t="s">
        <v>34</v>
      </c>
      <c r="E5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20" t="s">
        <v>35</v>
      </c>
    </row>
    <row r="3" customFormat="false" ht="15" hidden="false" customHeight="false" outlineLevel="0" collapsed="false">
      <c r="A3" s="21" t="s">
        <v>36</v>
      </c>
    </row>
    <row r="4" customFormat="false" ht="34.5" hidden="false" customHeight="true" outlineLevel="0" collapsed="false">
      <c r="A4" s="22" t="s">
        <v>37</v>
      </c>
    </row>
    <row r="5" customFormat="false" ht="15" hidden="false" customHeight="false" outlineLevel="0" collapsed="false">
      <c r="A5" s="22"/>
    </row>
    <row r="6" customFormat="false" ht="15" hidden="false" customHeight="false" outlineLevel="0" collapsed="false">
      <c r="A6" s="22" t="s">
        <v>38</v>
      </c>
    </row>
    <row r="7" customFormat="false" ht="26.85" hidden="false" customHeight="false" outlineLevel="0" collapsed="false">
      <c r="A7" s="22" t="s">
        <v>39</v>
      </c>
    </row>
    <row r="8" customFormat="false" ht="15" hidden="false" customHeight="false" outlineLevel="0" collapsed="false">
      <c r="A8" s="22"/>
    </row>
    <row r="9" customFormat="false" ht="15" hidden="false" customHeight="false" outlineLevel="0" collapsed="false">
      <c r="A9" s="22" t="s">
        <v>40</v>
      </c>
    </row>
    <row r="10" customFormat="false" ht="15" hidden="false" customHeight="false" outlineLevel="0" collapsed="false">
      <c r="A10" s="22" t="s">
        <v>41</v>
      </c>
    </row>
    <row r="11" customFormat="false" ht="15" hidden="false" customHeight="false" outlineLevel="0" collapsed="false">
      <c r="A11" s="22"/>
    </row>
    <row r="12" customFormat="false" ht="15" hidden="false" customHeight="false" outlineLevel="0" collapsed="false">
      <c r="A12" s="22" t="s">
        <v>42</v>
      </c>
    </row>
    <row r="13" customFormat="false" ht="15" hidden="false" customHeight="false" outlineLevel="0" collapsed="false">
      <c r="A13" s="22" t="s">
        <v>43</v>
      </c>
    </row>
    <row r="14" customFormat="false" ht="15" hidden="false" customHeight="false" outlineLevel="0" collapsed="false">
      <c r="A14" s="22" t="s">
        <v>44</v>
      </c>
    </row>
    <row r="15" customFormat="false" ht="15" hidden="false" customHeight="false" outlineLevel="0" collapsed="false">
      <c r="A15" s="22" t="s">
        <v>45</v>
      </c>
    </row>
    <row r="16" customFormat="false" ht="15" hidden="false" customHeight="false" outlineLevel="0" collapsed="false">
      <c r="A16" s="22" t="s">
        <v>46</v>
      </c>
    </row>
    <row r="17" customFormat="false" ht="15" hidden="false" customHeight="false" outlineLevel="0" collapsed="false">
      <c r="A17" s="22"/>
    </row>
    <row r="18" customFormat="false" ht="15" hidden="false" customHeight="false" outlineLevel="0" collapsed="false">
      <c r="A18" s="22"/>
    </row>
    <row r="19" customFormat="false" ht="15" hidden="false" customHeight="false" outlineLevel="0" collapsed="false">
      <c r="A19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2026-03-31T04:47:43Z</dcterms:created>
  <dc:creator>openpyxl</dc:creator>
  <dc:description/>
  <dc:language>en-US</dc:language>
  <cp:lastModifiedBy/>
  <dcterms:modified xsi:type="dcterms:W3CDTF">2026-03-31T04:47:43Z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